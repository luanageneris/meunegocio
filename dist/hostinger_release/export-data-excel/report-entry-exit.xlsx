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\Desktop\"/>
    </mc:Choice>
  </mc:AlternateContent>
  <xr:revisionPtr revIDLastSave="0" documentId="13_ncr:1_{4B7D323F-10EB-4E66-884B-AF0A49F1395C}" xr6:coauthVersionLast="47" xr6:coauthVersionMax="47" xr10:uidLastSave="{00000000-0000-0000-0000-000000000000}"/>
  <bookViews>
    <workbookView xWindow="945" yWindow="345" windowWidth="16470" windowHeight="14670" activeTab="3" xr2:uid="{6081DFCC-00CE-477D-A8E5-5E7CA6670D90}"/>
  </bookViews>
  <sheets>
    <sheet name="Janeiro" sheetId="1" r:id="rId1"/>
    <sheet name="Fevereiro" sheetId="4" r:id="rId2"/>
    <sheet name="Março" sheetId="6" r:id="rId3"/>
    <sheet name="abril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6" l="1"/>
  <c r="E2" i="7"/>
  <c r="E8" i="7"/>
  <c r="D29" i="7"/>
  <c r="D29" i="6"/>
  <c r="C29" i="7"/>
  <c r="C29" i="6"/>
  <c r="B29" i="7"/>
  <c r="B29" i="6"/>
  <c r="E3" i="7"/>
  <c r="E4" i="7"/>
  <c r="E5" i="7"/>
  <c r="E6" i="7"/>
  <c r="E7" i="7"/>
  <c r="E9" i="7"/>
  <c r="E10" i="7"/>
  <c r="E11" i="7"/>
  <c r="E12" i="7"/>
  <c r="E13" i="7"/>
  <c r="E14" i="7"/>
  <c r="E15" i="7"/>
  <c r="E16" i="7"/>
  <c r="E18" i="7"/>
  <c r="E20" i="7"/>
  <c r="E21" i="7"/>
  <c r="E22" i="7"/>
  <c r="E23" i="7"/>
  <c r="E24" i="7"/>
  <c r="E25" i="7"/>
  <c r="E26" i="7"/>
  <c r="E27" i="7"/>
  <c r="E28" i="7"/>
  <c r="E2" i="6"/>
  <c r="D27" i="1"/>
  <c r="D26" i="4"/>
  <c r="E26" i="6"/>
  <c r="E27" i="6"/>
  <c r="E28" i="6"/>
  <c r="E22" i="6"/>
  <c r="E23" i="6"/>
  <c r="E24" i="6"/>
  <c r="E25" i="6"/>
  <c r="E3" i="4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C26" i="4"/>
  <c r="E8" i="4"/>
  <c r="E7" i="4"/>
  <c r="E6" i="4"/>
  <c r="B26" i="4"/>
  <c r="E5" i="4"/>
  <c r="E4" i="4"/>
  <c r="E2" i="4"/>
  <c r="E3" i="1"/>
  <c r="E4" i="1"/>
  <c r="E5" i="1"/>
  <c r="E7" i="1"/>
  <c r="E8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B12" i="1"/>
  <c r="E12" i="1" s="1"/>
  <c r="B11" i="1"/>
  <c r="E11" i="1" s="1"/>
  <c r="B10" i="1"/>
  <c r="E10" i="1" s="1"/>
  <c r="C9" i="1"/>
  <c r="C27" i="1" s="1"/>
  <c r="B6" i="1"/>
  <c r="E6" i="1" s="1"/>
  <c r="B7" i="1"/>
  <c r="E29" i="7" l="1"/>
  <c r="E9" i="4"/>
  <c r="E26" i="4" s="1"/>
  <c r="E9" i="1"/>
  <c r="E27" i="1" s="1"/>
  <c r="B27" i="1"/>
</calcChain>
</file>

<file path=xl/sharedStrings.xml><?xml version="1.0" encoding="utf-8"?>
<sst xmlns="http://schemas.openxmlformats.org/spreadsheetml/2006/main" count="53" uniqueCount="33">
  <si>
    <t>Data</t>
  </si>
  <si>
    <t>Total de Entrada</t>
  </si>
  <si>
    <t>Total Final</t>
  </si>
  <si>
    <t>Total</t>
  </si>
  <si>
    <t>Total de Comissões</t>
  </si>
  <si>
    <t>Pagamentos (Saida)</t>
  </si>
  <si>
    <t xml:space="preserve"> Tintas</t>
  </si>
  <si>
    <t>motivo da saida</t>
  </si>
  <si>
    <t>energia</t>
  </si>
  <si>
    <t xml:space="preserve">internet </t>
  </si>
  <si>
    <t>parcela da impressora</t>
  </si>
  <si>
    <t xml:space="preserve">tinta </t>
  </si>
  <si>
    <t>word</t>
  </si>
  <si>
    <t>folhas</t>
  </si>
  <si>
    <t>Energia</t>
  </si>
  <si>
    <t>Internet/ Recarga</t>
  </si>
  <si>
    <t>plastico para platificar</t>
  </si>
  <si>
    <t>parcela impressora</t>
  </si>
  <si>
    <t>energisa</t>
  </si>
  <si>
    <t>internet</t>
  </si>
  <si>
    <t>devolução</t>
  </si>
  <si>
    <t>folhas fotos</t>
  </si>
  <si>
    <t>SEXTA DA PAIXAO</t>
  </si>
  <si>
    <t>TIRADENTES</t>
  </si>
  <si>
    <t xml:space="preserve">Motivo da saida </t>
  </si>
  <si>
    <t>IMPRESSORA</t>
  </si>
  <si>
    <t>ENERGIA</t>
  </si>
  <si>
    <t>ALMOÇO</t>
  </si>
  <si>
    <t>conta oi di 14</t>
  </si>
  <si>
    <t>RECARGA</t>
  </si>
  <si>
    <t>WORD</t>
  </si>
  <si>
    <t>chips da imp.</t>
  </si>
  <si>
    <t>recarga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</si>
</sst>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"/>
    <numFmt numFmtId="165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/>
    <xf numFmtId="164" fontId="0" fillId="0" borderId="1" xfId="0" applyNumberFormat="1" applyBorder="1"/>
    <xf numFmtId="164" fontId="1" fillId="2" borderId="1" xfId="0" applyNumberFormat="1" applyFont="1" applyFill="1" applyBorder="1"/>
    <xf numFmtId="14" fontId="0" fillId="0" borderId="2" xfId="0" applyNumberFormat="1" applyBorder="1"/>
    <xf numFmtId="0" fontId="0" fillId="0" borderId="2" xfId="0" applyBorder="1"/>
    <xf numFmtId="164" fontId="0" fillId="3" borderId="1" xfId="0" applyNumberFormat="1" applyFill="1" applyBorder="1"/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5" borderId="1" xfId="0" applyNumberFormat="1" applyFont="1" applyFill="1" applyBorder="1"/>
    <xf numFmtId="2" fontId="1" fillId="2" borderId="1" xfId="0" applyNumberFormat="1" applyFont="1" applyFill="1" applyBorder="1"/>
    <xf numFmtId="164" fontId="0" fillId="5" borderId="1" xfId="0" applyNumberFormat="1" applyFill="1" applyBorder="1"/>
    <xf numFmtId="0" fontId="1" fillId="4" borderId="1" xfId="0" applyFont="1" applyFill="1" applyBorder="1" applyAlignment="1">
      <alignment horizontal="center"/>
    </xf>
    <xf numFmtId="164" fontId="0" fillId="6" borderId="1" xfId="0" applyNumberFormat="1" applyFill="1" applyBorder="1"/>
    <xf numFmtId="164" fontId="2" fillId="6" borderId="1" xfId="0" applyNumberFormat="1" applyFont="1" applyFill="1" applyBorder="1"/>
    <xf numFmtId="14" fontId="0" fillId="6" borderId="1" xfId="0" applyNumberFormat="1" applyFill="1" applyBorder="1"/>
    <xf numFmtId="14" fontId="0" fillId="7" borderId="1" xfId="0" applyNumberFormat="1" applyFill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3D96-2028-47F3-AEDC-6B9A4D51FFA4}">
  <dimension ref="A1:F191"/>
  <sheetViews>
    <sheetView zoomScaleNormal="100" workbookViewId="0">
      <selection activeCell="F27" sqref="A1:F27"/>
    </sheetView>
  </sheetViews>
  <sheetFormatPr defaultRowHeight="15" x14ac:dyDescent="0.25"/>
  <cols>
    <col min="1" max="1" width="12.5703125" style="2" customWidth="1"/>
    <col min="2" max="2" width="15.28515625" style="3" customWidth="1"/>
    <col min="3" max="3" width="16.7109375" style="3" customWidth="1"/>
    <col min="4" max="4" width="19.7109375" customWidth="1"/>
    <col min="5" max="5" width="13.42578125" customWidth="1"/>
    <col min="6" max="6" width="25.28515625" customWidth="1"/>
  </cols>
  <sheetData>
    <row r="1" spans="1:6" ht="19.149999999999999" customHeight="1" x14ac:dyDescent="0.25">
      <c r="A1" s="10" t="s">
        <v>0</v>
      </c>
      <c r="B1" s="10" t="s">
        <v>1</v>
      </c>
      <c r="C1" s="10" t="s">
        <v>4</v>
      </c>
      <c r="D1" s="10" t="s">
        <v>5</v>
      </c>
      <c r="E1" s="10" t="s">
        <v>2</v>
      </c>
      <c r="F1" s="10" t="s">
        <v>7</v>
      </c>
    </row>
    <row r="2" spans="1:6" x14ac:dyDescent="0.25">
      <c r="A2" s="2">
        <v>45659</v>
      </c>
      <c r="B2" s="5">
        <v>198</v>
      </c>
      <c r="C2" s="5">
        <v>110</v>
      </c>
      <c r="D2" s="5">
        <v>0</v>
      </c>
      <c r="E2" s="9">
        <f>B2-C2-D2</f>
        <v>88</v>
      </c>
      <c r="F2" s="21"/>
    </row>
    <row r="3" spans="1:6" x14ac:dyDescent="0.25">
      <c r="A3" s="2">
        <v>45660</v>
      </c>
      <c r="B3" s="5">
        <v>234.4</v>
      </c>
      <c r="C3" s="5">
        <v>110</v>
      </c>
      <c r="D3" s="5">
        <v>0</v>
      </c>
      <c r="E3" s="9">
        <f t="shared" ref="E3:E26" si="0">B3-C3-D3</f>
        <v>124.4</v>
      </c>
      <c r="F3" s="21"/>
    </row>
    <row r="4" spans="1:6" x14ac:dyDescent="0.25">
      <c r="A4" s="2">
        <v>45661</v>
      </c>
      <c r="B4" s="5">
        <v>173.9</v>
      </c>
      <c r="C4" s="5">
        <v>70</v>
      </c>
      <c r="D4" s="5">
        <v>0</v>
      </c>
      <c r="E4" s="9">
        <f t="shared" si="0"/>
        <v>103.9</v>
      </c>
      <c r="F4" s="21"/>
    </row>
    <row r="5" spans="1:6" x14ac:dyDescent="0.25">
      <c r="A5" s="2">
        <v>45663</v>
      </c>
      <c r="B5" s="5">
        <v>360</v>
      </c>
      <c r="C5" s="5">
        <v>160</v>
      </c>
      <c r="D5" s="5">
        <v>0</v>
      </c>
      <c r="E5" s="9">
        <f t="shared" si="0"/>
        <v>200</v>
      </c>
      <c r="F5" s="21"/>
    </row>
    <row r="6" spans="1:6" x14ac:dyDescent="0.25">
      <c r="A6" s="2">
        <v>45664</v>
      </c>
      <c r="B6" s="5">
        <f>25.5+20.8+28.1+12.75+11.2+36+39.5+17.4+10.4+10.5+7.1+20+2.4+17.3+48+11+22.2+22.5+14+16.7+5.1+10.9+2.3+25.8</f>
        <v>437.45000000000005</v>
      </c>
      <c r="C6" s="5">
        <v>200</v>
      </c>
      <c r="D6" s="5">
        <v>0</v>
      </c>
      <c r="E6" s="9">
        <f t="shared" si="0"/>
        <v>237.45000000000005</v>
      </c>
      <c r="F6" s="21"/>
    </row>
    <row r="7" spans="1:6" x14ac:dyDescent="0.25">
      <c r="A7" s="2">
        <v>45665</v>
      </c>
      <c r="B7" s="5">
        <f>22.8+52+10+23+6.5+8.5+8+9+49+2.7+7.7+4.7+24+16+10+20+11.8+16</f>
        <v>301.7</v>
      </c>
      <c r="C7" s="5">
        <v>180</v>
      </c>
      <c r="D7" s="5">
        <v>0</v>
      </c>
      <c r="E7" s="9">
        <f t="shared" si="0"/>
        <v>121.69999999999999</v>
      </c>
      <c r="F7" s="21"/>
    </row>
    <row r="8" spans="1:6" x14ac:dyDescent="0.25">
      <c r="A8" s="2">
        <v>45666</v>
      </c>
      <c r="B8" s="5">
        <v>1020</v>
      </c>
      <c r="C8" s="5">
        <v>430</v>
      </c>
      <c r="D8" s="5">
        <v>427</v>
      </c>
      <c r="E8" s="9">
        <f t="shared" si="0"/>
        <v>163</v>
      </c>
      <c r="F8" s="21" t="s">
        <v>10</v>
      </c>
    </row>
    <row r="9" spans="1:6" x14ac:dyDescent="0.25">
      <c r="A9" s="2">
        <v>45667</v>
      </c>
      <c r="B9" s="5">
        <v>537</v>
      </c>
      <c r="C9" s="5">
        <f>30+70+90</f>
        <v>190</v>
      </c>
      <c r="D9" s="5">
        <v>58</v>
      </c>
      <c r="E9" s="9">
        <f t="shared" si="0"/>
        <v>289</v>
      </c>
      <c r="F9" s="21" t="s">
        <v>11</v>
      </c>
    </row>
    <row r="10" spans="1:6" x14ac:dyDescent="0.25">
      <c r="A10" s="2">
        <v>45670</v>
      </c>
      <c r="B10" s="5">
        <f>317</f>
        <v>317</v>
      </c>
      <c r="C10" s="5">
        <v>210</v>
      </c>
      <c r="D10" s="5">
        <v>0</v>
      </c>
      <c r="E10" s="9">
        <f t="shared" si="0"/>
        <v>107</v>
      </c>
      <c r="F10" s="21"/>
    </row>
    <row r="11" spans="1:6" x14ac:dyDescent="0.25">
      <c r="A11" s="2">
        <v>45671</v>
      </c>
      <c r="B11" s="5">
        <f>127+230</f>
        <v>357</v>
      </c>
      <c r="C11" s="5">
        <v>127</v>
      </c>
      <c r="D11" s="5">
        <v>200</v>
      </c>
      <c r="E11" s="9">
        <f t="shared" si="0"/>
        <v>30</v>
      </c>
      <c r="F11" s="21" t="s">
        <v>8</v>
      </c>
    </row>
    <row r="12" spans="1:6" x14ac:dyDescent="0.25">
      <c r="A12" s="2">
        <v>45672</v>
      </c>
      <c r="B12" s="5">
        <f>320+80+60+30</f>
        <v>490</v>
      </c>
      <c r="C12" s="5">
        <v>170</v>
      </c>
      <c r="D12" s="5">
        <v>190</v>
      </c>
      <c r="E12" s="9">
        <f t="shared" si="0"/>
        <v>130</v>
      </c>
      <c r="F12" s="21" t="s">
        <v>9</v>
      </c>
    </row>
    <row r="13" spans="1:6" x14ac:dyDescent="0.25">
      <c r="A13" s="2">
        <v>45673</v>
      </c>
      <c r="B13" s="5">
        <v>320</v>
      </c>
      <c r="C13" s="5">
        <v>120</v>
      </c>
      <c r="D13" s="5">
        <v>45</v>
      </c>
      <c r="E13" s="9">
        <f t="shared" si="0"/>
        <v>155</v>
      </c>
      <c r="F13" s="21" t="s">
        <v>12</v>
      </c>
    </row>
    <row r="14" spans="1:6" x14ac:dyDescent="0.25">
      <c r="A14" s="2">
        <v>45674</v>
      </c>
      <c r="B14" s="5">
        <v>290</v>
      </c>
      <c r="C14" s="5">
        <v>130</v>
      </c>
      <c r="D14" s="5">
        <v>0</v>
      </c>
      <c r="E14" s="9">
        <f t="shared" si="0"/>
        <v>160</v>
      </c>
      <c r="F14" s="21"/>
    </row>
    <row r="15" spans="1:6" x14ac:dyDescent="0.25">
      <c r="A15" s="2">
        <v>45675</v>
      </c>
      <c r="B15" s="5">
        <v>70</v>
      </c>
      <c r="C15" s="5">
        <v>0</v>
      </c>
      <c r="D15" s="5">
        <v>0</v>
      </c>
      <c r="E15" s="9">
        <f t="shared" si="0"/>
        <v>70</v>
      </c>
      <c r="F15" s="21"/>
    </row>
    <row r="16" spans="1:6" x14ac:dyDescent="0.25">
      <c r="A16" s="2">
        <v>45677</v>
      </c>
      <c r="B16" s="5">
        <v>470</v>
      </c>
      <c r="C16" s="5">
        <v>150</v>
      </c>
      <c r="D16" s="5">
        <v>180</v>
      </c>
      <c r="E16" s="9">
        <f t="shared" si="0"/>
        <v>140</v>
      </c>
      <c r="F16" s="22" t="s">
        <v>6</v>
      </c>
    </row>
    <row r="17" spans="1:6" x14ac:dyDescent="0.25">
      <c r="A17" s="2">
        <v>45678</v>
      </c>
      <c r="B17" s="5">
        <v>350</v>
      </c>
      <c r="C17" s="5">
        <v>150</v>
      </c>
      <c r="D17" s="5">
        <v>0</v>
      </c>
      <c r="E17" s="9">
        <f t="shared" si="0"/>
        <v>200</v>
      </c>
      <c r="F17" s="21"/>
    </row>
    <row r="18" spans="1:6" x14ac:dyDescent="0.25">
      <c r="A18" s="2">
        <v>45679</v>
      </c>
      <c r="B18" s="5">
        <v>816</v>
      </c>
      <c r="C18" s="5">
        <v>360</v>
      </c>
      <c r="D18" s="5">
        <v>0</v>
      </c>
      <c r="E18" s="9">
        <f t="shared" si="0"/>
        <v>456</v>
      </c>
      <c r="F18" s="21"/>
    </row>
    <row r="19" spans="1:6" x14ac:dyDescent="0.25">
      <c r="A19" s="2">
        <v>45680</v>
      </c>
      <c r="B19" s="5">
        <v>817</v>
      </c>
      <c r="C19" s="5">
        <v>377</v>
      </c>
      <c r="D19" s="5">
        <v>0</v>
      </c>
      <c r="E19" s="9">
        <f t="shared" si="0"/>
        <v>440</v>
      </c>
      <c r="F19" s="21"/>
    </row>
    <row r="20" spans="1:6" x14ac:dyDescent="0.25">
      <c r="A20" s="2">
        <v>45681</v>
      </c>
      <c r="B20" s="5">
        <v>350</v>
      </c>
      <c r="C20" s="5">
        <v>120</v>
      </c>
      <c r="D20" s="5">
        <v>0</v>
      </c>
      <c r="E20" s="9">
        <f t="shared" si="0"/>
        <v>230</v>
      </c>
      <c r="F20" s="21"/>
    </row>
    <row r="21" spans="1:6" x14ac:dyDescent="0.25">
      <c r="A21" s="2">
        <v>45682</v>
      </c>
      <c r="B21" s="5">
        <v>125</v>
      </c>
      <c r="C21" s="5">
        <v>15</v>
      </c>
      <c r="D21" s="5">
        <v>0</v>
      </c>
      <c r="E21" s="9">
        <f t="shared" si="0"/>
        <v>110</v>
      </c>
      <c r="F21" s="21"/>
    </row>
    <row r="22" spans="1:6" x14ac:dyDescent="0.25">
      <c r="A22" s="2">
        <v>45684</v>
      </c>
      <c r="B22" s="5">
        <v>500</v>
      </c>
      <c r="C22" s="5">
        <v>100</v>
      </c>
      <c r="D22" s="5">
        <v>0</v>
      </c>
      <c r="E22" s="9">
        <f t="shared" si="0"/>
        <v>400</v>
      </c>
      <c r="F22" s="21"/>
    </row>
    <row r="23" spans="1:6" x14ac:dyDescent="0.25">
      <c r="A23" s="2">
        <v>45685</v>
      </c>
      <c r="B23" s="5">
        <v>535</v>
      </c>
      <c r="C23" s="5">
        <v>125</v>
      </c>
      <c r="D23" s="5">
        <v>0</v>
      </c>
      <c r="E23" s="9">
        <f t="shared" si="0"/>
        <v>410</v>
      </c>
      <c r="F23" s="23"/>
    </row>
    <row r="24" spans="1:6" x14ac:dyDescent="0.25">
      <c r="A24" s="2">
        <v>45686</v>
      </c>
      <c r="B24" s="5">
        <v>400</v>
      </c>
      <c r="C24" s="5">
        <v>120</v>
      </c>
      <c r="D24" s="5">
        <v>690</v>
      </c>
      <c r="E24" s="9">
        <f t="shared" si="0"/>
        <v>-410</v>
      </c>
      <c r="F24" s="21" t="s">
        <v>13</v>
      </c>
    </row>
    <row r="25" spans="1:6" x14ac:dyDescent="0.25">
      <c r="A25" s="2">
        <v>45687</v>
      </c>
      <c r="B25" s="5">
        <v>380</v>
      </c>
      <c r="C25" s="5">
        <v>150</v>
      </c>
      <c r="D25" s="5">
        <v>0</v>
      </c>
      <c r="E25" s="9">
        <f t="shared" si="0"/>
        <v>230</v>
      </c>
      <c r="F25" s="23"/>
    </row>
    <row r="26" spans="1:6" x14ac:dyDescent="0.25">
      <c r="A26" s="2">
        <v>45688</v>
      </c>
      <c r="B26" s="5">
        <v>300</v>
      </c>
      <c r="C26" s="5">
        <v>130</v>
      </c>
      <c r="D26" s="5">
        <v>0</v>
      </c>
      <c r="E26" s="9">
        <f t="shared" si="0"/>
        <v>170</v>
      </c>
      <c r="F26" s="23"/>
    </row>
    <row r="27" spans="1:6" x14ac:dyDescent="0.25">
      <c r="A27" s="4" t="s">
        <v>3</v>
      </c>
      <c r="B27" s="6">
        <f>SUM(B2:B26)</f>
        <v>10149.450000000001</v>
      </c>
      <c r="C27" s="6">
        <f>SUM(C2:C26)</f>
        <v>4004</v>
      </c>
      <c r="D27" s="6">
        <f>SUM(D2:D26)</f>
        <v>1790</v>
      </c>
      <c r="E27" s="6">
        <f>SUM(E2:E26)</f>
        <v>4355.45</v>
      </c>
      <c r="F27" s="23"/>
    </row>
    <row r="28" spans="1:6" x14ac:dyDescent="0.25">
      <c r="A28" s="7"/>
      <c r="B28" s="8"/>
      <c r="C28" s="8"/>
    </row>
    <row r="29" spans="1:6" x14ac:dyDescent="0.25">
      <c r="A29" s="1"/>
      <c r="B29"/>
      <c r="C29"/>
    </row>
    <row r="30" spans="1:6" x14ac:dyDescent="0.25">
      <c r="A30" s="1"/>
      <c r="B30"/>
      <c r="C30"/>
    </row>
    <row r="31" spans="1:6" x14ac:dyDescent="0.25">
      <c r="A31" s="1"/>
      <c r="B31"/>
      <c r="C31"/>
    </row>
    <row r="32" spans="1:6" x14ac:dyDescent="0.25">
      <c r="A32" s="1"/>
      <c r="B32"/>
      <c r="C32"/>
    </row>
    <row r="33" spans="1:3" x14ac:dyDescent="0.25">
      <c r="A33" s="1"/>
      <c r="B33"/>
      <c r="C33"/>
    </row>
    <row r="34" spans="1:3" x14ac:dyDescent="0.25">
      <c r="A34" s="1"/>
      <c r="B34"/>
      <c r="C34"/>
    </row>
    <row r="35" spans="1:3" x14ac:dyDescent="0.25">
      <c r="A35" s="1"/>
      <c r="B35"/>
      <c r="C35"/>
    </row>
    <row r="36" spans="1:3" x14ac:dyDescent="0.25">
      <c r="A36" s="1"/>
      <c r="B36"/>
      <c r="C36"/>
    </row>
    <row r="37" spans="1:3" x14ac:dyDescent="0.25">
      <c r="A37" s="1"/>
      <c r="B37"/>
      <c r="C37"/>
    </row>
    <row r="38" spans="1:3" x14ac:dyDescent="0.25">
      <c r="A38" s="1"/>
      <c r="B38"/>
      <c r="C38"/>
    </row>
    <row r="39" spans="1:3" x14ac:dyDescent="0.25">
      <c r="A39" s="1"/>
      <c r="B39"/>
      <c r="C39"/>
    </row>
    <row r="40" spans="1:3" x14ac:dyDescent="0.25">
      <c r="A40" s="1"/>
      <c r="B40"/>
      <c r="C40"/>
    </row>
    <row r="41" spans="1:3" x14ac:dyDescent="0.25">
      <c r="A41" s="1"/>
      <c r="B41"/>
      <c r="C41"/>
    </row>
    <row r="42" spans="1:3" x14ac:dyDescent="0.25">
      <c r="A42" s="1"/>
      <c r="B42"/>
      <c r="C42"/>
    </row>
    <row r="43" spans="1:3" x14ac:dyDescent="0.25">
      <c r="A43" s="1"/>
      <c r="B43"/>
      <c r="C43"/>
    </row>
    <row r="44" spans="1:3" x14ac:dyDescent="0.25">
      <c r="A44" s="1"/>
      <c r="B44"/>
      <c r="C44"/>
    </row>
    <row r="45" spans="1:3" x14ac:dyDescent="0.25">
      <c r="A45" s="1"/>
      <c r="B45"/>
      <c r="C45"/>
    </row>
    <row r="46" spans="1:3" x14ac:dyDescent="0.25">
      <c r="A46" s="1"/>
      <c r="B46"/>
      <c r="C46"/>
    </row>
    <row r="47" spans="1:3" x14ac:dyDescent="0.25">
      <c r="A47" s="1"/>
      <c r="B47"/>
      <c r="C47"/>
    </row>
    <row r="48" spans="1:3" x14ac:dyDescent="0.25">
      <c r="A48" s="1"/>
      <c r="B48"/>
      <c r="C48"/>
    </row>
    <row r="49" spans="1:3" x14ac:dyDescent="0.25">
      <c r="A49" s="1"/>
      <c r="B49"/>
      <c r="C49"/>
    </row>
    <row r="50" spans="1:3" x14ac:dyDescent="0.25">
      <c r="A50" s="1"/>
      <c r="B50"/>
      <c r="C50"/>
    </row>
    <row r="51" spans="1:3" x14ac:dyDescent="0.25">
      <c r="A51" s="1"/>
      <c r="B51"/>
      <c r="C51"/>
    </row>
    <row r="52" spans="1:3" x14ac:dyDescent="0.25">
      <c r="A52" s="1"/>
      <c r="B52"/>
      <c r="C52"/>
    </row>
    <row r="53" spans="1:3" x14ac:dyDescent="0.25">
      <c r="A53" s="1"/>
      <c r="B53"/>
      <c r="C53"/>
    </row>
    <row r="54" spans="1:3" x14ac:dyDescent="0.25">
      <c r="A54" s="1"/>
      <c r="B54"/>
      <c r="C54"/>
    </row>
    <row r="55" spans="1:3" x14ac:dyDescent="0.25">
      <c r="A55" s="1"/>
      <c r="B55"/>
      <c r="C55"/>
    </row>
    <row r="56" spans="1:3" x14ac:dyDescent="0.25">
      <c r="A56" s="1"/>
      <c r="B56"/>
      <c r="C56"/>
    </row>
    <row r="57" spans="1:3" x14ac:dyDescent="0.25">
      <c r="A57" s="1"/>
      <c r="B57"/>
      <c r="C57"/>
    </row>
    <row r="58" spans="1:3" x14ac:dyDescent="0.25">
      <c r="A58" s="1"/>
      <c r="B58"/>
      <c r="C58"/>
    </row>
    <row r="59" spans="1:3" x14ac:dyDescent="0.25">
      <c r="A59" s="1"/>
      <c r="B59"/>
      <c r="C59"/>
    </row>
    <row r="60" spans="1:3" x14ac:dyDescent="0.25">
      <c r="A60" s="1"/>
      <c r="B60"/>
      <c r="C60"/>
    </row>
    <row r="61" spans="1:3" x14ac:dyDescent="0.25">
      <c r="A61" s="1"/>
      <c r="B61"/>
      <c r="C61"/>
    </row>
    <row r="62" spans="1:3" x14ac:dyDescent="0.25">
      <c r="A62" s="1"/>
      <c r="B62"/>
      <c r="C62"/>
    </row>
    <row r="63" spans="1:3" x14ac:dyDescent="0.25">
      <c r="A63" s="1"/>
      <c r="B63"/>
      <c r="C63"/>
    </row>
    <row r="64" spans="1:3" x14ac:dyDescent="0.25">
      <c r="A64" s="1"/>
      <c r="B64"/>
      <c r="C64"/>
    </row>
    <row r="65" spans="1:3" x14ac:dyDescent="0.25">
      <c r="A65" s="1"/>
      <c r="B65"/>
      <c r="C65"/>
    </row>
    <row r="66" spans="1:3" x14ac:dyDescent="0.25">
      <c r="A66" s="1"/>
      <c r="B66"/>
      <c r="C66"/>
    </row>
    <row r="67" spans="1:3" x14ac:dyDescent="0.25">
      <c r="A67" s="1"/>
      <c r="B67"/>
      <c r="C67"/>
    </row>
    <row r="68" spans="1:3" x14ac:dyDescent="0.25">
      <c r="A68" s="1"/>
      <c r="B68"/>
      <c r="C68"/>
    </row>
    <row r="69" spans="1:3" x14ac:dyDescent="0.25">
      <c r="A69" s="1"/>
      <c r="B69"/>
      <c r="C69"/>
    </row>
    <row r="70" spans="1:3" x14ac:dyDescent="0.25">
      <c r="A70" s="1"/>
      <c r="B70"/>
      <c r="C70"/>
    </row>
    <row r="71" spans="1:3" x14ac:dyDescent="0.25">
      <c r="A71" s="1"/>
      <c r="B71"/>
      <c r="C71"/>
    </row>
    <row r="72" spans="1:3" x14ac:dyDescent="0.25">
      <c r="A72" s="1"/>
      <c r="B72"/>
      <c r="C72"/>
    </row>
    <row r="73" spans="1:3" x14ac:dyDescent="0.25">
      <c r="A73" s="1"/>
      <c r="B73"/>
      <c r="C73"/>
    </row>
    <row r="74" spans="1:3" x14ac:dyDescent="0.25">
      <c r="A74" s="1"/>
      <c r="B74"/>
      <c r="C74"/>
    </row>
    <row r="75" spans="1:3" x14ac:dyDescent="0.25">
      <c r="A75" s="1"/>
      <c r="B75"/>
      <c r="C75"/>
    </row>
    <row r="76" spans="1:3" x14ac:dyDescent="0.25">
      <c r="A76" s="1"/>
      <c r="B76"/>
      <c r="C76"/>
    </row>
    <row r="77" spans="1:3" x14ac:dyDescent="0.25">
      <c r="A77" s="1"/>
      <c r="B77"/>
      <c r="C77"/>
    </row>
    <row r="78" spans="1:3" x14ac:dyDescent="0.25">
      <c r="A78" s="1"/>
      <c r="B78"/>
      <c r="C78"/>
    </row>
    <row r="79" spans="1:3" x14ac:dyDescent="0.25">
      <c r="A79" s="1"/>
      <c r="B79"/>
      <c r="C79"/>
    </row>
    <row r="80" spans="1:3" x14ac:dyDescent="0.25">
      <c r="A80" s="1"/>
      <c r="B80"/>
      <c r="C80"/>
    </row>
    <row r="81" spans="1:3" x14ac:dyDescent="0.25">
      <c r="A81" s="1"/>
      <c r="B81"/>
      <c r="C81"/>
    </row>
    <row r="82" spans="1:3" x14ac:dyDescent="0.25">
      <c r="A82" s="1"/>
      <c r="B82"/>
      <c r="C82"/>
    </row>
    <row r="83" spans="1:3" x14ac:dyDescent="0.25">
      <c r="A83" s="1"/>
      <c r="B83"/>
      <c r="C83"/>
    </row>
    <row r="84" spans="1:3" x14ac:dyDescent="0.25">
      <c r="A84" s="1"/>
      <c r="B84"/>
      <c r="C84"/>
    </row>
    <row r="85" spans="1:3" x14ac:dyDescent="0.25">
      <c r="A85" s="1"/>
      <c r="B85"/>
      <c r="C85"/>
    </row>
    <row r="86" spans="1:3" x14ac:dyDescent="0.25">
      <c r="A86" s="1"/>
      <c r="B86"/>
      <c r="C86"/>
    </row>
    <row r="87" spans="1:3" x14ac:dyDescent="0.25">
      <c r="A87" s="1"/>
      <c r="B87"/>
      <c r="C87"/>
    </row>
    <row r="88" spans="1:3" x14ac:dyDescent="0.25">
      <c r="A88" s="1"/>
      <c r="B88"/>
      <c r="C88"/>
    </row>
    <row r="89" spans="1:3" x14ac:dyDescent="0.25">
      <c r="A89" s="1"/>
      <c r="B89"/>
      <c r="C89"/>
    </row>
    <row r="90" spans="1:3" x14ac:dyDescent="0.25">
      <c r="A90" s="1"/>
      <c r="B90"/>
      <c r="C90"/>
    </row>
    <row r="91" spans="1:3" x14ac:dyDescent="0.25">
      <c r="A91" s="1"/>
      <c r="B91"/>
      <c r="C91"/>
    </row>
    <row r="92" spans="1:3" x14ac:dyDescent="0.25">
      <c r="A92" s="1"/>
      <c r="B92"/>
      <c r="C92"/>
    </row>
    <row r="93" spans="1:3" x14ac:dyDescent="0.25">
      <c r="A93" s="1"/>
      <c r="B93"/>
      <c r="C93"/>
    </row>
    <row r="94" spans="1:3" x14ac:dyDescent="0.25">
      <c r="A94" s="1"/>
      <c r="B94"/>
      <c r="C94"/>
    </row>
    <row r="95" spans="1:3" x14ac:dyDescent="0.25">
      <c r="A95" s="1"/>
      <c r="B95"/>
      <c r="C95"/>
    </row>
    <row r="96" spans="1:3" x14ac:dyDescent="0.25">
      <c r="A96" s="1"/>
      <c r="B96"/>
      <c r="C96"/>
    </row>
    <row r="97" spans="1:3" x14ac:dyDescent="0.25">
      <c r="A97" s="1"/>
      <c r="B97"/>
      <c r="C97"/>
    </row>
    <row r="98" spans="1:3" x14ac:dyDescent="0.25">
      <c r="A98" s="1"/>
      <c r="B98"/>
      <c r="C98"/>
    </row>
    <row r="99" spans="1:3" x14ac:dyDescent="0.25">
      <c r="A99" s="1"/>
      <c r="B99"/>
      <c r="C99"/>
    </row>
    <row r="100" spans="1:3" x14ac:dyDescent="0.25">
      <c r="A100" s="1"/>
      <c r="B100"/>
      <c r="C100"/>
    </row>
    <row r="101" spans="1:3" x14ac:dyDescent="0.25">
      <c r="A101" s="1"/>
      <c r="B101"/>
      <c r="C101"/>
    </row>
    <row r="102" spans="1:3" x14ac:dyDescent="0.25">
      <c r="A102" s="1"/>
      <c r="B102"/>
      <c r="C102"/>
    </row>
    <row r="103" spans="1:3" x14ac:dyDescent="0.25">
      <c r="A103" s="1"/>
      <c r="B103"/>
      <c r="C103"/>
    </row>
    <row r="104" spans="1:3" x14ac:dyDescent="0.25">
      <c r="A104" s="1"/>
      <c r="B104"/>
      <c r="C104"/>
    </row>
    <row r="105" spans="1:3" x14ac:dyDescent="0.25">
      <c r="A105" s="1"/>
      <c r="B105"/>
      <c r="C105"/>
    </row>
    <row r="106" spans="1:3" x14ac:dyDescent="0.25">
      <c r="A106" s="1"/>
      <c r="B106"/>
      <c r="C106"/>
    </row>
    <row r="107" spans="1:3" x14ac:dyDescent="0.25">
      <c r="A107" s="1"/>
      <c r="B107"/>
      <c r="C107"/>
    </row>
    <row r="108" spans="1:3" x14ac:dyDescent="0.25">
      <c r="A108" s="1"/>
      <c r="B108"/>
      <c r="C108"/>
    </row>
    <row r="109" spans="1:3" x14ac:dyDescent="0.25">
      <c r="A109" s="1"/>
      <c r="B109"/>
      <c r="C109"/>
    </row>
    <row r="110" spans="1:3" x14ac:dyDescent="0.25">
      <c r="A110" s="1"/>
      <c r="B110"/>
      <c r="C110"/>
    </row>
    <row r="111" spans="1:3" x14ac:dyDescent="0.25">
      <c r="A111" s="1"/>
      <c r="B111"/>
      <c r="C111"/>
    </row>
    <row r="112" spans="1:3" x14ac:dyDescent="0.25">
      <c r="A112" s="1"/>
      <c r="B112"/>
      <c r="C112"/>
    </row>
    <row r="113" spans="1:3" x14ac:dyDescent="0.25">
      <c r="A113" s="1"/>
      <c r="B113"/>
      <c r="C113"/>
    </row>
    <row r="114" spans="1:3" x14ac:dyDescent="0.25">
      <c r="A114" s="1"/>
      <c r="B114"/>
      <c r="C114"/>
    </row>
    <row r="115" spans="1:3" x14ac:dyDescent="0.25">
      <c r="A115" s="1"/>
      <c r="B115"/>
      <c r="C115"/>
    </row>
    <row r="116" spans="1:3" x14ac:dyDescent="0.25">
      <c r="A116" s="1"/>
      <c r="B116"/>
      <c r="C116"/>
    </row>
    <row r="117" spans="1:3" x14ac:dyDescent="0.25">
      <c r="A117" s="1"/>
      <c r="B117"/>
      <c r="C117"/>
    </row>
    <row r="118" spans="1:3" x14ac:dyDescent="0.25">
      <c r="A118" s="1"/>
      <c r="B118"/>
      <c r="C118"/>
    </row>
    <row r="119" spans="1:3" x14ac:dyDescent="0.25">
      <c r="A119" s="1"/>
      <c r="B119"/>
      <c r="C119"/>
    </row>
    <row r="120" spans="1:3" x14ac:dyDescent="0.25">
      <c r="A120" s="1"/>
      <c r="B120"/>
      <c r="C120"/>
    </row>
    <row r="121" spans="1:3" x14ac:dyDescent="0.25">
      <c r="A121" s="1"/>
      <c r="B121"/>
      <c r="C121"/>
    </row>
    <row r="122" spans="1:3" x14ac:dyDescent="0.25">
      <c r="A122" s="1"/>
      <c r="B122"/>
      <c r="C122"/>
    </row>
    <row r="123" spans="1:3" x14ac:dyDescent="0.25">
      <c r="A123" s="1"/>
      <c r="B123"/>
      <c r="C123"/>
    </row>
    <row r="124" spans="1:3" x14ac:dyDescent="0.25">
      <c r="A124" s="1"/>
      <c r="B124"/>
      <c r="C124"/>
    </row>
    <row r="125" spans="1:3" x14ac:dyDescent="0.25">
      <c r="A125" s="1"/>
      <c r="B125"/>
      <c r="C125"/>
    </row>
    <row r="126" spans="1:3" x14ac:dyDescent="0.25">
      <c r="A126" s="1"/>
      <c r="B126"/>
      <c r="C126"/>
    </row>
    <row r="127" spans="1:3" x14ac:dyDescent="0.25">
      <c r="A127" s="1"/>
      <c r="B127"/>
      <c r="C127"/>
    </row>
    <row r="128" spans="1:3" x14ac:dyDescent="0.25">
      <c r="A128" s="1"/>
      <c r="B128"/>
      <c r="C128"/>
    </row>
    <row r="129" spans="1:3" x14ac:dyDescent="0.25">
      <c r="A129" s="1"/>
      <c r="B129"/>
      <c r="C129"/>
    </row>
    <row r="130" spans="1:3" x14ac:dyDescent="0.25">
      <c r="A130" s="1"/>
      <c r="B130"/>
      <c r="C130"/>
    </row>
    <row r="131" spans="1:3" x14ac:dyDescent="0.25">
      <c r="A131" s="1"/>
      <c r="B131"/>
      <c r="C131"/>
    </row>
    <row r="132" spans="1:3" x14ac:dyDescent="0.25">
      <c r="A132" s="1"/>
      <c r="B132"/>
      <c r="C132"/>
    </row>
    <row r="133" spans="1:3" x14ac:dyDescent="0.25">
      <c r="A133" s="1"/>
      <c r="B133"/>
      <c r="C133"/>
    </row>
    <row r="134" spans="1:3" x14ac:dyDescent="0.25">
      <c r="A134" s="1"/>
      <c r="B134"/>
      <c r="C134"/>
    </row>
    <row r="135" spans="1:3" x14ac:dyDescent="0.25">
      <c r="A135" s="1"/>
      <c r="B135"/>
      <c r="C135"/>
    </row>
    <row r="136" spans="1:3" x14ac:dyDescent="0.25">
      <c r="A136" s="1"/>
      <c r="B136"/>
      <c r="C136"/>
    </row>
    <row r="137" spans="1:3" x14ac:dyDescent="0.25">
      <c r="A137" s="1"/>
      <c r="B137"/>
      <c r="C137"/>
    </row>
    <row r="138" spans="1:3" x14ac:dyDescent="0.25">
      <c r="A138" s="1"/>
      <c r="B138"/>
      <c r="C138"/>
    </row>
    <row r="139" spans="1:3" x14ac:dyDescent="0.25">
      <c r="A139" s="1"/>
      <c r="B139"/>
      <c r="C139"/>
    </row>
    <row r="140" spans="1:3" x14ac:dyDescent="0.25">
      <c r="A140" s="1"/>
      <c r="B140"/>
      <c r="C140"/>
    </row>
    <row r="141" spans="1:3" x14ac:dyDescent="0.25">
      <c r="A141" s="1"/>
      <c r="B141"/>
      <c r="C141"/>
    </row>
    <row r="142" spans="1:3" x14ac:dyDescent="0.25">
      <c r="A142" s="1"/>
      <c r="B142"/>
      <c r="C142"/>
    </row>
    <row r="143" spans="1:3" x14ac:dyDescent="0.25">
      <c r="A143" s="1"/>
      <c r="B143"/>
      <c r="C143"/>
    </row>
    <row r="144" spans="1:3" x14ac:dyDescent="0.25">
      <c r="A144" s="1"/>
      <c r="B144"/>
      <c r="C144"/>
    </row>
    <row r="145" spans="1:3" x14ac:dyDescent="0.25">
      <c r="A145" s="1"/>
      <c r="B145"/>
      <c r="C145"/>
    </row>
    <row r="146" spans="1:3" x14ac:dyDescent="0.25">
      <c r="A146" s="1"/>
      <c r="B146"/>
      <c r="C146"/>
    </row>
    <row r="147" spans="1:3" x14ac:dyDescent="0.25">
      <c r="A147" s="1"/>
      <c r="B147"/>
      <c r="C147"/>
    </row>
    <row r="148" spans="1:3" x14ac:dyDescent="0.25">
      <c r="A148" s="1"/>
      <c r="B148"/>
      <c r="C148"/>
    </row>
    <row r="149" spans="1:3" x14ac:dyDescent="0.25">
      <c r="A149" s="1"/>
      <c r="B149"/>
      <c r="C149"/>
    </row>
    <row r="150" spans="1:3" x14ac:dyDescent="0.25">
      <c r="A150" s="1"/>
      <c r="B150"/>
      <c r="C150"/>
    </row>
    <row r="151" spans="1:3" x14ac:dyDescent="0.25">
      <c r="A151" s="1"/>
      <c r="B151"/>
      <c r="C151"/>
    </row>
    <row r="152" spans="1:3" x14ac:dyDescent="0.25">
      <c r="A152" s="1"/>
      <c r="B152"/>
      <c r="C152"/>
    </row>
    <row r="153" spans="1:3" x14ac:dyDescent="0.25">
      <c r="A153" s="1"/>
      <c r="B153"/>
      <c r="C153"/>
    </row>
    <row r="154" spans="1:3" x14ac:dyDescent="0.25">
      <c r="A154" s="1"/>
      <c r="B154"/>
      <c r="C154"/>
    </row>
    <row r="155" spans="1:3" x14ac:dyDescent="0.25">
      <c r="A155" s="1"/>
      <c r="B155"/>
      <c r="C155"/>
    </row>
    <row r="156" spans="1:3" x14ac:dyDescent="0.25">
      <c r="A156" s="1"/>
      <c r="B156"/>
      <c r="C156"/>
    </row>
    <row r="157" spans="1:3" x14ac:dyDescent="0.25">
      <c r="A157" s="1"/>
      <c r="B157"/>
      <c r="C157"/>
    </row>
    <row r="158" spans="1:3" x14ac:dyDescent="0.25">
      <c r="A158" s="1"/>
      <c r="B158"/>
      <c r="C158"/>
    </row>
    <row r="159" spans="1:3" x14ac:dyDescent="0.25">
      <c r="A159" s="1"/>
      <c r="B159"/>
      <c r="C159"/>
    </row>
    <row r="160" spans="1:3" x14ac:dyDescent="0.25">
      <c r="A160" s="1"/>
      <c r="B160"/>
      <c r="C160"/>
    </row>
    <row r="161" spans="1:3" x14ac:dyDescent="0.25">
      <c r="A161" s="1"/>
      <c r="B161"/>
      <c r="C161"/>
    </row>
    <row r="162" spans="1:3" x14ac:dyDescent="0.25">
      <c r="A162" s="1"/>
      <c r="B162"/>
      <c r="C162"/>
    </row>
    <row r="163" spans="1:3" x14ac:dyDescent="0.25">
      <c r="A163" s="1"/>
      <c r="B163"/>
      <c r="C163"/>
    </row>
    <row r="164" spans="1:3" x14ac:dyDescent="0.25">
      <c r="A164" s="1"/>
      <c r="B164"/>
      <c r="C164"/>
    </row>
    <row r="165" spans="1:3" x14ac:dyDescent="0.25">
      <c r="A165" s="1"/>
      <c r="B165"/>
      <c r="C165"/>
    </row>
    <row r="166" spans="1:3" x14ac:dyDescent="0.25">
      <c r="A166" s="1"/>
      <c r="B166"/>
      <c r="C166"/>
    </row>
    <row r="167" spans="1:3" x14ac:dyDescent="0.25">
      <c r="A167" s="1"/>
      <c r="B167"/>
      <c r="C167"/>
    </row>
    <row r="168" spans="1:3" x14ac:dyDescent="0.25">
      <c r="A168" s="1"/>
      <c r="B168"/>
      <c r="C168"/>
    </row>
    <row r="169" spans="1:3" x14ac:dyDescent="0.25">
      <c r="A169" s="1"/>
      <c r="B169"/>
      <c r="C169"/>
    </row>
    <row r="170" spans="1:3" x14ac:dyDescent="0.25">
      <c r="A170" s="1"/>
      <c r="B170"/>
      <c r="C170"/>
    </row>
    <row r="171" spans="1:3" x14ac:dyDescent="0.25">
      <c r="A171" s="1"/>
      <c r="B171"/>
      <c r="C171"/>
    </row>
    <row r="172" spans="1:3" x14ac:dyDescent="0.25">
      <c r="A172" s="1"/>
      <c r="B172"/>
      <c r="C172"/>
    </row>
    <row r="173" spans="1:3" x14ac:dyDescent="0.25">
      <c r="A173" s="1"/>
      <c r="B173"/>
      <c r="C173"/>
    </row>
    <row r="174" spans="1:3" x14ac:dyDescent="0.25">
      <c r="A174" s="1"/>
      <c r="B174"/>
      <c r="C174"/>
    </row>
    <row r="175" spans="1:3" x14ac:dyDescent="0.25">
      <c r="A175" s="1"/>
      <c r="B175"/>
      <c r="C175"/>
    </row>
    <row r="176" spans="1:3" x14ac:dyDescent="0.25">
      <c r="A176" s="1"/>
      <c r="B176"/>
      <c r="C176"/>
    </row>
    <row r="177" spans="1:3" x14ac:dyDescent="0.25">
      <c r="A177" s="1"/>
      <c r="B177"/>
      <c r="C177"/>
    </row>
    <row r="178" spans="1:3" x14ac:dyDescent="0.25">
      <c r="A178" s="1"/>
      <c r="B178"/>
      <c r="C178"/>
    </row>
    <row r="179" spans="1:3" x14ac:dyDescent="0.25">
      <c r="A179" s="1"/>
      <c r="B179"/>
      <c r="C179"/>
    </row>
    <row r="180" spans="1:3" x14ac:dyDescent="0.25">
      <c r="A180" s="1"/>
      <c r="B180"/>
      <c r="C180"/>
    </row>
    <row r="181" spans="1:3" x14ac:dyDescent="0.25">
      <c r="A181" s="1"/>
      <c r="B181"/>
      <c r="C181"/>
    </row>
    <row r="182" spans="1:3" x14ac:dyDescent="0.25">
      <c r="A182" s="1"/>
      <c r="B182"/>
      <c r="C182"/>
    </row>
    <row r="183" spans="1:3" x14ac:dyDescent="0.25">
      <c r="A183" s="1"/>
      <c r="B183"/>
      <c r="C183"/>
    </row>
    <row r="184" spans="1:3" x14ac:dyDescent="0.25">
      <c r="A184" s="1"/>
      <c r="B184"/>
      <c r="C184"/>
    </row>
    <row r="185" spans="1:3" x14ac:dyDescent="0.25">
      <c r="A185" s="1"/>
      <c r="B185"/>
      <c r="C185"/>
    </row>
    <row r="186" spans="1:3" x14ac:dyDescent="0.25">
      <c r="A186" s="1"/>
      <c r="B186"/>
      <c r="C186"/>
    </row>
    <row r="187" spans="1:3" x14ac:dyDescent="0.25">
      <c r="A187" s="1"/>
      <c r="B187"/>
      <c r="C187"/>
    </row>
    <row r="188" spans="1:3" x14ac:dyDescent="0.25">
      <c r="A188" s="1"/>
      <c r="B188"/>
      <c r="C188"/>
    </row>
    <row r="189" spans="1:3" x14ac:dyDescent="0.25">
      <c r="A189" s="1"/>
      <c r="B189"/>
      <c r="C189"/>
    </row>
    <row r="190" spans="1:3" x14ac:dyDescent="0.25">
      <c r="A190" s="1"/>
      <c r="B190"/>
      <c r="C190"/>
    </row>
    <row r="191" spans="1:3" x14ac:dyDescent="0.25">
      <c r="A191" s="1"/>
      <c r="B191"/>
      <c r="C191"/>
    </row>
  </sheetData>
  <pageMargins left="1" right="1" top="1" bottom="1" header="0.5" footer="0.5"/>
  <pageSetup paperSize="9" fitToWidth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5683-34B8-4245-B520-C82075CA8C65}">
  <dimension ref="A1:F29"/>
  <sheetViews>
    <sheetView zoomScaleNormal="100" workbookViewId="0">
      <selection activeCell="F26" sqref="A1:F26"/>
    </sheetView>
  </sheetViews>
  <sheetFormatPr defaultRowHeight="15" x14ac:dyDescent="0.25"/>
  <cols>
    <col min="1" max="1" width="13.42578125" customWidth="1"/>
    <col min="2" max="2" width="20.140625" customWidth="1"/>
    <col min="3" max="3" width="22.85546875" customWidth="1"/>
    <col min="4" max="4" width="19.5703125" customWidth="1"/>
    <col min="5" max="5" width="12.42578125" customWidth="1"/>
    <col min="6" max="7" width="21.140625" customWidth="1"/>
  </cols>
  <sheetData>
    <row r="1" spans="1:6" x14ac:dyDescent="0.25">
      <c r="A1" s="10" t="s">
        <v>0</v>
      </c>
      <c r="B1" s="10" t="s">
        <v>1</v>
      </c>
      <c r="C1" s="10" t="s">
        <v>4</v>
      </c>
      <c r="D1" s="10" t="s">
        <v>5</v>
      </c>
      <c r="E1" s="10" t="s">
        <v>2</v>
      </c>
      <c r="F1" s="21" t="s">
        <v>7</v>
      </c>
    </row>
    <row r="2" spans="1:6" x14ac:dyDescent="0.25">
      <c r="A2" s="2">
        <v>45689</v>
      </c>
      <c r="B2" s="5">
        <v>160</v>
      </c>
      <c r="C2" s="5">
        <v>0</v>
      </c>
      <c r="D2" s="5">
        <v>30</v>
      </c>
      <c r="E2" s="9">
        <f>B2-C2-D2</f>
        <v>130</v>
      </c>
      <c r="F2" s="21"/>
    </row>
    <row r="3" spans="1:6" x14ac:dyDescent="0.25">
      <c r="A3" s="2">
        <v>45691</v>
      </c>
      <c r="B3" s="5">
        <v>380</v>
      </c>
      <c r="C3" s="5">
        <v>140</v>
      </c>
      <c r="D3" s="5">
        <v>0</v>
      </c>
      <c r="E3" s="9">
        <f t="shared" ref="E3:E25" si="0">B3-C3-D3</f>
        <v>240</v>
      </c>
      <c r="F3" s="21"/>
    </row>
    <row r="4" spans="1:6" x14ac:dyDescent="0.25">
      <c r="A4" s="2">
        <v>45692</v>
      </c>
      <c r="B4" s="5">
        <v>360</v>
      </c>
      <c r="C4" s="5">
        <v>105</v>
      </c>
      <c r="D4" s="5">
        <v>0</v>
      </c>
      <c r="E4" s="9">
        <f t="shared" si="0"/>
        <v>255</v>
      </c>
      <c r="F4" s="21"/>
    </row>
    <row r="5" spans="1:6" x14ac:dyDescent="0.25">
      <c r="A5" s="2">
        <v>45693</v>
      </c>
      <c r="B5" s="5">
        <v>330</v>
      </c>
      <c r="C5" s="5">
        <v>110</v>
      </c>
      <c r="D5" s="5">
        <v>0</v>
      </c>
      <c r="E5" s="9">
        <f t="shared" si="0"/>
        <v>220</v>
      </c>
      <c r="F5" s="21"/>
    </row>
    <row r="6" spans="1:6" x14ac:dyDescent="0.25">
      <c r="A6" s="2">
        <v>45694</v>
      </c>
      <c r="B6" s="5">
        <v>330</v>
      </c>
      <c r="C6" s="5">
        <v>120</v>
      </c>
      <c r="D6" s="5">
        <v>0</v>
      </c>
      <c r="E6" s="9">
        <f t="shared" si="0"/>
        <v>210</v>
      </c>
      <c r="F6" s="21"/>
    </row>
    <row r="7" spans="1:6" x14ac:dyDescent="0.25">
      <c r="A7" s="2">
        <v>45695</v>
      </c>
      <c r="B7" s="5">
        <v>390</v>
      </c>
      <c r="C7" s="5">
        <v>100</v>
      </c>
      <c r="D7" s="5">
        <v>430</v>
      </c>
      <c r="E7" s="9">
        <f t="shared" si="0"/>
        <v>-140</v>
      </c>
      <c r="F7" s="21" t="s">
        <v>17</v>
      </c>
    </row>
    <row r="8" spans="1:6" x14ac:dyDescent="0.25">
      <c r="A8" s="2">
        <v>45696</v>
      </c>
      <c r="B8" s="5">
        <v>200</v>
      </c>
      <c r="C8" s="5">
        <v>0</v>
      </c>
      <c r="D8" s="5">
        <v>200</v>
      </c>
      <c r="E8" s="9">
        <f t="shared" si="0"/>
        <v>0</v>
      </c>
      <c r="F8" s="21" t="s">
        <v>14</v>
      </c>
    </row>
    <row r="9" spans="1:6" x14ac:dyDescent="0.25">
      <c r="A9" s="2">
        <v>45698</v>
      </c>
      <c r="B9" s="5">
        <v>395</v>
      </c>
      <c r="C9" s="5">
        <v>280</v>
      </c>
      <c r="D9" s="5">
        <v>0</v>
      </c>
      <c r="E9" s="9">
        <f t="shared" si="0"/>
        <v>115</v>
      </c>
      <c r="F9" s="21"/>
    </row>
    <row r="10" spans="1:6" x14ac:dyDescent="0.25">
      <c r="A10" s="2">
        <v>45699</v>
      </c>
      <c r="B10" s="5">
        <v>340</v>
      </c>
      <c r="C10" s="5">
        <v>110</v>
      </c>
      <c r="D10" s="5">
        <v>0</v>
      </c>
      <c r="E10" s="9">
        <f t="shared" si="0"/>
        <v>230</v>
      </c>
      <c r="F10" s="21"/>
    </row>
    <row r="11" spans="1:6" x14ac:dyDescent="0.25">
      <c r="A11" s="2">
        <v>45700</v>
      </c>
      <c r="B11" s="5">
        <v>341</v>
      </c>
      <c r="C11" s="5">
        <v>65</v>
      </c>
      <c r="D11" s="5">
        <v>157</v>
      </c>
      <c r="E11" s="9">
        <f t="shared" si="0"/>
        <v>119</v>
      </c>
      <c r="F11" s="21" t="s">
        <v>15</v>
      </c>
    </row>
    <row r="12" spans="1:6" x14ac:dyDescent="0.25">
      <c r="A12" s="2">
        <v>45701</v>
      </c>
      <c r="B12" s="5">
        <v>280</v>
      </c>
      <c r="C12" s="5">
        <v>80</v>
      </c>
      <c r="D12" s="5">
        <v>0</v>
      </c>
      <c r="E12" s="9">
        <f t="shared" si="0"/>
        <v>200</v>
      </c>
      <c r="F12" s="21"/>
    </row>
    <row r="13" spans="1:6" x14ac:dyDescent="0.25">
      <c r="A13" s="2">
        <v>45702</v>
      </c>
      <c r="B13" s="5">
        <v>257</v>
      </c>
      <c r="C13" s="5">
        <v>100</v>
      </c>
      <c r="D13" s="5">
        <v>0</v>
      </c>
      <c r="E13" s="9">
        <f t="shared" si="0"/>
        <v>157</v>
      </c>
      <c r="F13" s="21"/>
    </row>
    <row r="14" spans="1:6" x14ac:dyDescent="0.25">
      <c r="A14" s="2">
        <v>45703</v>
      </c>
      <c r="B14" s="5">
        <v>90</v>
      </c>
      <c r="C14" s="5">
        <v>30</v>
      </c>
      <c r="D14" s="5">
        <v>0</v>
      </c>
      <c r="E14" s="9">
        <f t="shared" si="0"/>
        <v>60</v>
      </c>
      <c r="F14" s="21"/>
    </row>
    <row r="15" spans="1:6" x14ac:dyDescent="0.25">
      <c r="A15" s="2">
        <v>45705</v>
      </c>
      <c r="B15" s="5">
        <v>312</v>
      </c>
      <c r="C15" s="5">
        <v>110</v>
      </c>
      <c r="D15" s="5">
        <v>0</v>
      </c>
      <c r="E15" s="9">
        <f t="shared" si="0"/>
        <v>202</v>
      </c>
      <c r="F15" s="21"/>
    </row>
    <row r="16" spans="1:6" x14ac:dyDescent="0.25">
      <c r="A16" s="2">
        <v>45706</v>
      </c>
      <c r="B16" s="5">
        <v>200</v>
      </c>
      <c r="C16" s="5">
        <v>80</v>
      </c>
      <c r="D16" s="5">
        <v>0</v>
      </c>
      <c r="E16" s="9">
        <f t="shared" si="0"/>
        <v>120</v>
      </c>
      <c r="F16" s="21"/>
    </row>
    <row r="17" spans="1:6" x14ac:dyDescent="0.25">
      <c r="A17" s="2">
        <v>45707</v>
      </c>
      <c r="B17" s="5">
        <v>280</v>
      </c>
      <c r="C17" s="5">
        <v>100</v>
      </c>
      <c r="D17" s="5">
        <v>0</v>
      </c>
      <c r="E17" s="9">
        <f t="shared" si="0"/>
        <v>180</v>
      </c>
      <c r="F17" s="21"/>
    </row>
    <row r="18" spans="1:6" x14ac:dyDescent="0.25">
      <c r="A18" s="2">
        <v>45708</v>
      </c>
      <c r="B18" s="5">
        <v>293.5</v>
      </c>
      <c r="C18" s="5">
        <v>100</v>
      </c>
      <c r="D18" s="5">
        <v>96</v>
      </c>
      <c r="E18" s="9">
        <f t="shared" si="0"/>
        <v>97.5</v>
      </c>
      <c r="F18" s="21" t="s">
        <v>16</v>
      </c>
    </row>
    <row r="19" spans="1:6" x14ac:dyDescent="0.25">
      <c r="A19" s="2">
        <v>45709</v>
      </c>
      <c r="B19" s="5">
        <v>267</v>
      </c>
      <c r="C19" s="5">
        <v>90</v>
      </c>
      <c r="D19" s="5">
        <v>0</v>
      </c>
      <c r="E19" s="9">
        <f t="shared" si="0"/>
        <v>177</v>
      </c>
      <c r="F19" s="21"/>
    </row>
    <row r="20" spans="1:6" x14ac:dyDescent="0.25">
      <c r="A20" s="2">
        <v>45710</v>
      </c>
      <c r="B20" s="5">
        <v>110</v>
      </c>
      <c r="C20" s="5">
        <v>50</v>
      </c>
      <c r="D20" s="5">
        <v>0</v>
      </c>
      <c r="E20" s="9">
        <f t="shared" si="0"/>
        <v>60</v>
      </c>
      <c r="F20" s="21"/>
    </row>
    <row r="21" spans="1:6" x14ac:dyDescent="0.25">
      <c r="A21" s="2">
        <v>45712</v>
      </c>
      <c r="B21" s="5">
        <v>309</v>
      </c>
      <c r="C21" s="5">
        <v>124</v>
      </c>
      <c r="D21" s="5">
        <v>0</v>
      </c>
      <c r="E21" s="9">
        <f t="shared" si="0"/>
        <v>185</v>
      </c>
      <c r="F21" s="21"/>
    </row>
    <row r="22" spans="1:6" x14ac:dyDescent="0.25">
      <c r="A22" s="2">
        <v>45713</v>
      </c>
      <c r="B22" s="5">
        <v>220</v>
      </c>
      <c r="C22" s="5">
        <v>120</v>
      </c>
      <c r="D22" s="5">
        <v>0</v>
      </c>
      <c r="E22" s="9">
        <f t="shared" si="0"/>
        <v>100</v>
      </c>
      <c r="F22" s="21"/>
    </row>
    <row r="23" spans="1:6" x14ac:dyDescent="0.25">
      <c r="A23" s="2">
        <v>45714</v>
      </c>
      <c r="B23" s="5">
        <v>246.75</v>
      </c>
      <c r="C23" s="5">
        <v>112</v>
      </c>
      <c r="D23" s="5">
        <v>0</v>
      </c>
      <c r="E23" s="9">
        <f t="shared" si="0"/>
        <v>134.75</v>
      </c>
      <c r="F23" s="21"/>
    </row>
    <row r="24" spans="1:6" x14ac:dyDescent="0.25">
      <c r="A24" s="2">
        <v>45715</v>
      </c>
      <c r="B24" s="5">
        <v>357</v>
      </c>
      <c r="C24" s="5">
        <v>150</v>
      </c>
      <c r="D24" s="5">
        <v>0</v>
      </c>
      <c r="E24" s="9">
        <f t="shared" si="0"/>
        <v>207</v>
      </c>
      <c r="F24" s="21"/>
    </row>
    <row r="25" spans="1:6" x14ac:dyDescent="0.25">
      <c r="A25" s="2">
        <v>45716</v>
      </c>
      <c r="B25" s="5">
        <v>191</v>
      </c>
      <c r="C25" s="5">
        <v>120</v>
      </c>
      <c r="D25" s="5">
        <v>0</v>
      </c>
      <c r="E25" s="9">
        <f t="shared" si="0"/>
        <v>71</v>
      </c>
      <c r="F25" s="21"/>
    </row>
    <row r="26" spans="1:6" x14ac:dyDescent="0.25">
      <c r="A26" s="4" t="s">
        <v>3</v>
      </c>
      <c r="B26" s="6">
        <f>SUM(B2:B25)</f>
        <v>6639.25</v>
      </c>
      <c r="C26" s="6">
        <f>SUM(C2:C25)</f>
        <v>2396</v>
      </c>
      <c r="D26" s="6">
        <f>SUM(D2:D25)</f>
        <v>913</v>
      </c>
      <c r="E26" s="6">
        <f>SUM(E2:E25)</f>
        <v>3330.25</v>
      </c>
      <c r="F26" s="21"/>
    </row>
    <row r="27" spans="1:6" x14ac:dyDescent="0.25">
      <c r="A27" s="1"/>
      <c r="F27" s="11"/>
    </row>
    <row r="28" spans="1:6" x14ac:dyDescent="0.25">
      <c r="A28" s="1"/>
    </row>
    <row r="29" spans="1:6" x14ac:dyDescent="0.25">
      <c r="A29" s="1"/>
    </row>
  </sheetData>
  <pageMargins left="0.98425196850393704" right="0.98425196850393704" top="0.98425196850393704" bottom="0.98425196850393704" header="0.51181102362204722" footer="0.51181102362204722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1A18-9ACC-4C67-AF8E-B8B2492DFAAF}">
  <sheetPr>
    <pageSetUpPr fitToPage="1"/>
  </sheetPr>
  <dimension ref="A1:L31"/>
  <sheetViews>
    <sheetView zoomScale="70" zoomScaleNormal="70" workbookViewId="0">
      <selection activeCell="E30" sqref="E30"/>
    </sheetView>
  </sheetViews>
  <sheetFormatPr defaultRowHeight="15" x14ac:dyDescent="0.25"/>
  <cols>
    <col min="1" max="1" width="13.42578125" customWidth="1"/>
    <col min="2" max="2" width="25.7109375" customWidth="1"/>
    <col min="3" max="3" width="27.5703125" customWidth="1"/>
    <col min="4" max="4" width="28.140625" customWidth="1"/>
    <col min="5" max="5" width="22" customWidth="1"/>
    <col min="6" max="6" width="23" customWidth="1"/>
  </cols>
  <sheetData>
    <row r="1" spans="1:6" ht="23.25" customHeight="1" x14ac:dyDescent="0.25">
      <c r="A1" s="10" t="s">
        <v>0</v>
      </c>
      <c r="B1" s="10" t="s">
        <v>1</v>
      </c>
      <c r="C1" s="10" t="s">
        <v>4</v>
      </c>
      <c r="D1" s="10" t="s">
        <v>5</v>
      </c>
      <c r="E1" s="10" t="s">
        <v>2</v>
      </c>
      <c r="F1" s="21" t="s">
        <v>24</v>
      </c>
    </row>
    <row r="2" spans="1:6" ht="24.75" customHeight="1" x14ac:dyDescent="0.25">
      <c r="A2" s="2">
        <v>45717</v>
      </c>
      <c r="B2" s="5">
        <v>110</v>
      </c>
      <c r="C2" s="5">
        <v>40</v>
      </c>
      <c r="D2" s="5"/>
      <c r="E2" s="9">
        <f>B2-C2-D2</f>
        <v>70</v>
      </c>
      <c r="F2" s="21"/>
    </row>
    <row r="3" spans="1:6" ht="24.75" customHeight="1" x14ac:dyDescent="0.25">
      <c r="A3" s="2">
        <v>45719</v>
      </c>
      <c r="B3" s="12">
        <v>0</v>
      </c>
      <c r="C3" s="12">
        <v>0</v>
      </c>
      <c r="D3" s="12">
        <v>0</v>
      </c>
      <c r="E3" s="9">
        <f t="shared" ref="E3:E20" si="0">B3-C3-D3</f>
        <v>0</v>
      </c>
      <c r="F3" s="21"/>
    </row>
    <row r="4" spans="1:6" ht="23.25" customHeight="1" x14ac:dyDescent="0.25">
      <c r="A4" s="2">
        <v>45720</v>
      </c>
      <c r="B4" s="12">
        <v>0</v>
      </c>
      <c r="C4" s="12">
        <v>0</v>
      </c>
      <c r="D4" s="12">
        <v>0</v>
      </c>
      <c r="E4" s="9">
        <f t="shared" si="0"/>
        <v>0</v>
      </c>
      <c r="F4" s="21"/>
    </row>
    <row r="5" spans="1:6" ht="25.5" customHeight="1" x14ac:dyDescent="0.25">
      <c r="A5" s="2">
        <v>45721</v>
      </c>
      <c r="B5" s="5">
        <v>310</v>
      </c>
      <c r="C5" s="5">
        <v>100</v>
      </c>
      <c r="D5" s="5">
        <v>0</v>
      </c>
      <c r="E5" s="9">
        <f t="shared" si="0"/>
        <v>210</v>
      </c>
      <c r="F5" s="21"/>
    </row>
    <row r="6" spans="1:6" ht="29.25" customHeight="1" x14ac:dyDescent="0.25">
      <c r="A6" s="2">
        <v>45722</v>
      </c>
      <c r="B6" s="5">
        <v>354</v>
      </c>
      <c r="C6" s="5">
        <v>100</v>
      </c>
      <c r="D6" s="5">
        <v>15</v>
      </c>
      <c r="E6" s="9">
        <f t="shared" si="0"/>
        <v>239</v>
      </c>
      <c r="F6" s="21" t="s">
        <v>20</v>
      </c>
    </row>
    <row r="7" spans="1:6" ht="21.75" customHeight="1" x14ac:dyDescent="0.25">
      <c r="A7" s="2">
        <v>45723</v>
      </c>
      <c r="B7" s="5">
        <v>305</v>
      </c>
      <c r="C7" s="5">
        <v>165</v>
      </c>
      <c r="D7" s="5">
        <v>0</v>
      </c>
      <c r="E7" s="9">
        <f t="shared" si="0"/>
        <v>140</v>
      </c>
      <c r="F7" s="21"/>
    </row>
    <row r="8" spans="1:6" ht="23.25" customHeight="1" x14ac:dyDescent="0.25">
      <c r="A8" s="2">
        <v>45724</v>
      </c>
      <c r="B8" s="5">
        <v>190</v>
      </c>
      <c r="C8" s="5">
        <v>80</v>
      </c>
      <c r="D8" s="5">
        <v>0</v>
      </c>
      <c r="E8" s="9">
        <f t="shared" si="0"/>
        <v>110</v>
      </c>
      <c r="F8" s="21"/>
    </row>
    <row r="9" spans="1:6" ht="20.25" customHeight="1" x14ac:dyDescent="0.25">
      <c r="A9" s="2">
        <v>45726</v>
      </c>
      <c r="B9" s="5">
        <v>390</v>
      </c>
      <c r="C9" s="5">
        <v>120</v>
      </c>
      <c r="D9" s="5">
        <v>430</v>
      </c>
      <c r="E9" s="9">
        <f t="shared" si="0"/>
        <v>-160</v>
      </c>
      <c r="F9" s="21" t="s">
        <v>17</v>
      </c>
    </row>
    <row r="10" spans="1:6" ht="22.5" customHeight="1" x14ac:dyDescent="0.25">
      <c r="A10" s="2">
        <v>45727</v>
      </c>
      <c r="B10" s="5">
        <v>270</v>
      </c>
      <c r="C10" s="5">
        <v>110</v>
      </c>
      <c r="D10" s="5">
        <v>150</v>
      </c>
      <c r="E10" s="9">
        <f t="shared" si="0"/>
        <v>10</v>
      </c>
      <c r="F10" s="21" t="s">
        <v>18</v>
      </c>
    </row>
    <row r="11" spans="1:6" ht="24.75" customHeight="1" x14ac:dyDescent="0.25">
      <c r="A11" s="2">
        <v>45728</v>
      </c>
      <c r="B11" s="5">
        <v>264</v>
      </c>
      <c r="C11" s="5">
        <v>84</v>
      </c>
      <c r="D11" s="5">
        <v>0</v>
      </c>
      <c r="E11" s="9">
        <f t="shared" si="0"/>
        <v>180</v>
      </c>
      <c r="F11" s="21"/>
    </row>
    <row r="12" spans="1:6" ht="22.5" customHeight="1" x14ac:dyDescent="0.25">
      <c r="A12" s="2">
        <v>45729</v>
      </c>
      <c r="B12" s="5">
        <v>329</v>
      </c>
      <c r="C12" s="5">
        <v>100</v>
      </c>
      <c r="D12" s="5">
        <v>0</v>
      </c>
      <c r="E12" s="9">
        <f t="shared" si="0"/>
        <v>229</v>
      </c>
      <c r="F12" s="21"/>
    </row>
    <row r="13" spans="1:6" ht="21.75" customHeight="1" x14ac:dyDescent="0.25">
      <c r="A13" s="2">
        <v>45730</v>
      </c>
      <c r="B13" s="5">
        <v>350</v>
      </c>
      <c r="C13" s="5">
        <v>150</v>
      </c>
      <c r="D13" s="5">
        <v>97</v>
      </c>
      <c r="E13" s="9">
        <f t="shared" si="0"/>
        <v>103</v>
      </c>
      <c r="F13" s="21" t="s">
        <v>19</v>
      </c>
    </row>
    <row r="14" spans="1:6" ht="22.5" customHeight="1" x14ac:dyDescent="0.25">
      <c r="A14" s="2">
        <v>45731</v>
      </c>
      <c r="B14" s="5">
        <v>160</v>
      </c>
      <c r="C14" s="5">
        <v>80</v>
      </c>
      <c r="D14" s="5">
        <v>0</v>
      </c>
      <c r="E14" s="9">
        <f t="shared" si="0"/>
        <v>80</v>
      </c>
      <c r="F14" s="21"/>
    </row>
    <row r="15" spans="1:6" ht="21.75" customHeight="1" x14ac:dyDescent="0.25">
      <c r="A15" s="2">
        <v>45733</v>
      </c>
      <c r="B15" s="14"/>
      <c r="C15" s="14"/>
      <c r="D15" s="14"/>
      <c r="E15" s="9">
        <f t="shared" si="0"/>
        <v>0</v>
      </c>
      <c r="F15" s="21"/>
    </row>
    <row r="16" spans="1:6" ht="19.5" customHeight="1" x14ac:dyDescent="0.25">
      <c r="A16" s="2">
        <v>45734</v>
      </c>
      <c r="B16" s="5">
        <v>340</v>
      </c>
      <c r="C16" s="5">
        <v>100</v>
      </c>
      <c r="D16" s="5">
        <v>0</v>
      </c>
      <c r="E16" s="9">
        <f t="shared" si="0"/>
        <v>240</v>
      </c>
      <c r="F16" s="21"/>
    </row>
    <row r="17" spans="1:12" ht="18" customHeight="1" x14ac:dyDescent="0.25">
      <c r="A17" s="2">
        <v>45735</v>
      </c>
      <c r="B17" s="5">
        <v>240</v>
      </c>
      <c r="C17" s="5">
        <v>90</v>
      </c>
      <c r="D17" s="5">
        <v>60</v>
      </c>
      <c r="E17" s="9">
        <f t="shared" si="0"/>
        <v>90</v>
      </c>
      <c r="F17" s="21"/>
    </row>
    <row r="18" spans="1:12" ht="20.25" customHeight="1" x14ac:dyDescent="0.25">
      <c r="A18" s="2">
        <v>45736</v>
      </c>
      <c r="B18" s="5">
        <v>253</v>
      </c>
      <c r="C18" s="5">
        <v>85</v>
      </c>
      <c r="D18" s="5">
        <v>290</v>
      </c>
      <c r="E18" s="9">
        <f t="shared" si="0"/>
        <v>-122</v>
      </c>
      <c r="F18" s="21" t="s">
        <v>21</v>
      </c>
    </row>
    <row r="19" spans="1:12" ht="22.5" customHeight="1" x14ac:dyDescent="0.25">
      <c r="A19" s="2">
        <v>45737</v>
      </c>
      <c r="B19" s="5">
        <v>280</v>
      </c>
      <c r="C19" s="5">
        <v>100</v>
      </c>
      <c r="D19" s="5">
        <v>0</v>
      </c>
      <c r="E19" s="9">
        <f t="shared" si="0"/>
        <v>180</v>
      </c>
      <c r="F19" s="21"/>
    </row>
    <row r="20" spans="1:12" ht="21.75" customHeight="1" x14ac:dyDescent="0.25">
      <c r="A20" s="2">
        <v>45738</v>
      </c>
      <c r="B20" s="5">
        <v>64</v>
      </c>
      <c r="C20" s="5">
        <v>30</v>
      </c>
      <c r="D20" s="5">
        <v>0</v>
      </c>
      <c r="E20" s="9">
        <f t="shared" si="0"/>
        <v>34</v>
      </c>
      <c r="F20" s="23"/>
    </row>
    <row r="21" spans="1:12" ht="21.75" customHeight="1" x14ac:dyDescent="0.25">
      <c r="A21" s="2">
        <v>45740</v>
      </c>
      <c r="B21" s="5">
        <v>210</v>
      </c>
      <c r="C21" s="5">
        <v>110</v>
      </c>
      <c r="D21" s="5">
        <v>0</v>
      </c>
      <c r="E21" s="9">
        <f>B21-C21-D21</f>
        <v>100</v>
      </c>
      <c r="F21" s="21"/>
    </row>
    <row r="22" spans="1:12" ht="19.5" customHeight="1" x14ac:dyDescent="0.25">
      <c r="A22" s="2">
        <v>45741</v>
      </c>
      <c r="B22" s="5">
        <v>350</v>
      </c>
      <c r="C22" s="5">
        <v>100</v>
      </c>
      <c r="D22" s="5">
        <v>0</v>
      </c>
      <c r="E22" s="9">
        <f t="shared" ref="E22:E25" si="1">B22-C22-D22</f>
        <v>250</v>
      </c>
      <c r="F22" s="21"/>
    </row>
    <row r="23" spans="1:12" ht="19.5" customHeight="1" x14ac:dyDescent="0.25">
      <c r="A23" s="2">
        <v>45742</v>
      </c>
      <c r="B23" s="5">
        <v>447</v>
      </c>
      <c r="C23" s="5">
        <v>140</v>
      </c>
      <c r="D23" s="5">
        <v>0</v>
      </c>
      <c r="E23" s="9">
        <f t="shared" si="1"/>
        <v>307</v>
      </c>
      <c r="F23" s="21"/>
    </row>
    <row r="24" spans="1:12" ht="21.75" customHeight="1" x14ac:dyDescent="0.25">
      <c r="A24" s="2">
        <v>45743</v>
      </c>
      <c r="B24" s="5">
        <v>310</v>
      </c>
      <c r="C24" s="5">
        <v>120</v>
      </c>
      <c r="D24" s="5">
        <v>0</v>
      </c>
      <c r="E24" s="9">
        <f t="shared" si="1"/>
        <v>190</v>
      </c>
      <c r="F24" s="21"/>
    </row>
    <row r="25" spans="1:12" ht="23.25" customHeight="1" x14ac:dyDescent="0.25">
      <c r="A25" s="2">
        <v>45744</v>
      </c>
      <c r="B25" s="5">
        <v>295</v>
      </c>
      <c r="C25" s="5">
        <v>130</v>
      </c>
      <c r="D25" s="5">
        <v>0</v>
      </c>
      <c r="E25" s="9">
        <f t="shared" si="1"/>
        <v>165</v>
      </c>
      <c r="F25" s="21"/>
    </row>
    <row r="26" spans="1:12" ht="29.25" customHeight="1" x14ac:dyDescent="0.25">
      <c r="A26" s="2">
        <v>45745</v>
      </c>
      <c r="B26" s="5">
        <v>100</v>
      </c>
      <c r="C26" s="5">
        <v>50</v>
      </c>
      <c r="D26" s="5">
        <v>0</v>
      </c>
      <c r="E26" s="9">
        <f t="shared" ref="E26:E28" si="2">B26-C26-D26</f>
        <v>50</v>
      </c>
      <c r="F26" s="21"/>
    </row>
    <row r="27" spans="1:12" ht="24.75" customHeight="1" x14ac:dyDescent="0.25">
      <c r="A27" s="2">
        <v>45746</v>
      </c>
      <c r="B27" s="14">
        <v>0</v>
      </c>
      <c r="C27" s="14">
        <v>0</v>
      </c>
      <c r="D27" s="14">
        <v>0</v>
      </c>
      <c r="E27" s="14">
        <f t="shared" si="2"/>
        <v>0</v>
      </c>
      <c r="F27" s="21"/>
    </row>
    <row r="28" spans="1:12" ht="23.25" customHeight="1" x14ac:dyDescent="0.25">
      <c r="A28" s="2">
        <v>45747</v>
      </c>
      <c r="B28" s="5">
        <v>430</v>
      </c>
      <c r="C28" s="5">
        <v>170</v>
      </c>
      <c r="D28" s="5">
        <v>0</v>
      </c>
      <c r="E28" s="9">
        <f t="shared" si="2"/>
        <v>260</v>
      </c>
      <c r="F28" s="21"/>
    </row>
    <row r="29" spans="1:12" x14ac:dyDescent="0.25">
      <c r="A29" s="4" t="s">
        <v>3</v>
      </c>
      <c r="B29" s="6">
        <f>SUM(B2:B28)</f>
        <v>6351</v>
      </c>
      <c r="C29" s="6">
        <f>SUM(C2:C28)</f>
        <v>2354</v>
      </c>
      <c r="D29" s="6">
        <f>SUM(D2:D28)</f>
        <v>1042</v>
      </c>
      <c r="E29" s="13">
        <f>SUM(E2:E28)</f>
        <v>2955</v>
      </c>
      <c r="F29" s="21"/>
    </row>
    <row r="31" spans="1:12" x14ac:dyDescent="0.25">
      <c r="L31">
        <v>9</v>
      </c>
    </row>
  </sheetData>
  <pageMargins left="0.98425196850393704" right="0.98425196850393704" top="0.98425196850393704" bottom="0.98425196850393704" header="0.51181102362204722" footer="0.51181102362204722"/>
  <pageSetup paperSize="9" scale="64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338A-846F-4249-9B83-CDA1BE790265}">
  <dimension ref="A1:F30"/>
  <sheetViews>
    <sheetView tabSelected="1" workbookViewId="0">
      <selection activeCell="H15" sqref="H15"/>
    </sheetView>
  </sheetViews>
  <sheetFormatPr defaultRowHeight="15" x14ac:dyDescent="0.25"/>
  <cols>
    <col min="1" max="1" width="25.5703125" bestFit="1" customWidth="1"/>
    <col min="2" max="2" width="16.85546875" customWidth="1"/>
    <col min="3" max="3" width="22.28515625" customWidth="1"/>
    <col min="4" max="4" width="25.85546875" customWidth="1"/>
    <col min="5" max="5" width="20" customWidth="1"/>
    <col min="6" max="6" width="13.7109375" customWidth="1"/>
  </cols>
  <sheetData>
    <row r="1" spans="1:6" x14ac:dyDescent="0.25">
      <c r="A1" s="15" t="s">
        <v>0</v>
      </c>
      <c r="B1" s="15" t="s">
        <v>1</v>
      </c>
      <c r="C1" s="15" t="s">
        <v>4</v>
      </c>
      <c r="D1" s="15" t="s">
        <v>5</v>
      </c>
      <c r="E1" s="15" t="s">
        <v>2</v>
      </c>
    </row>
    <row r="2" spans="1:6" x14ac:dyDescent="0.25">
      <c r="A2" s="2">
        <v>45748</v>
      </c>
      <c r="B2" s="5">
        <v>392</v>
      </c>
      <c r="C2" s="5">
        <v>130</v>
      </c>
      <c r="D2" s="5"/>
      <c r="E2" s="9">
        <f>B2-C2-E6</f>
        <v>152</v>
      </c>
    </row>
    <row r="3" spans="1:6" x14ac:dyDescent="0.25">
      <c r="A3" s="2">
        <v>45749</v>
      </c>
      <c r="B3" s="17">
        <v>324</v>
      </c>
      <c r="C3" s="17">
        <v>100</v>
      </c>
      <c r="D3" s="17"/>
      <c r="E3" s="9">
        <f t="shared" ref="E3:E28" si="0">B3-C3-D3</f>
        <v>224</v>
      </c>
    </row>
    <row r="4" spans="1:6" x14ac:dyDescent="0.25">
      <c r="A4" s="2">
        <v>45750</v>
      </c>
      <c r="B4" s="17">
        <v>404</v>
      </c>
      <c r="C4" s="17">
        <v>120</v>
      </c>
      <c r="D4" s="17">
        <v>120</v>
      </c>
      <c r="E4" s="9">
        <f t="shared" si="0"/>
        <v>164</v>
      </c>
    </row>
    <row r="5" spans="1:6" x14ac:dyDescent="0.25">
      <c r="A5" s="2">
        <v>45751</v>
      </c>
      <c r="B5" s="5">
        <v>405</v>
      </c>
      <c r="C5" s="5">
        <v>160</v>
      </c>
      <c r="D5" s="5"/>
      <c r="E5" s="9">
        <f t="shared" si="0"/>
        <v>245</v>
      </c>
    </row>
    <row r="6" spans="1:6" x14ac:dyDescent="0.25">
      <c r="A6" s="2">
        <v>45752</v>
      </c>
      <c r="B6" s="5">
        <v>160</v>
      </c>
      <c r="C6" s="5">
        <v>50</v>
      </c>
      <c r="D6" s="5"/>
      <c r="E6" s="9">
        <f t="shared" si="0"/>
        <v>110</v>
      </c>
    </row>
    <row r="7" spans="1:6" x14ac:dyDescent="0.25">
      <c r="A7" s="18">
        <v>45754</v>
      </c>
      <c r="B7" s="5">
        <v>420</v>
      </c>
      <c r="C7" s="5">
        <v>140</v>
      </c>
      <c r="D7" s="5">
        <v>427</v>
      </c>
      <c r="E7" s="9">
        <f t="shared" si="0"/>
        <v>-147</v>
      </c>
      <c r="F7" t="s">
        <v>25</v>
      </c>
    </row>
    <row r="8" spans="1:6" x14ac:dyDescent="0.25">
      <c r="A8" s="18">
        <v>45755</v>
      </c>
      <c r="B8" s="5">
        <v>470</v>
      </c>
      <c r="C8" s="5">
        <v>160</v>
      </c>
      <c r="D8" s="24">
        <v>200</v>
      </c>
      <c r="E8" s="9">
        <f>B8-C8-D8</f>
        <v>110</v>
      </c>
      <c r="F8" t="s">
        <v>26</v>
      </c>
    </row>
    <row r="9" spans="1:6" x14ac:dyDescent="0.25">
      <c r="A9" s="18">
        <v>45756</v>
      </c>
      <c r="B9" s="5">
        <v>400</v>
      </c>
      <c r="C9" s="5">
        <v>100</v>
      </c>
      <c r="D9" s="5">
        <v>60</v>
      </c>
      <c r="E9" s="9">
        <f t="shared" si="0"/>
        <v>240</v>
      </c>
      <c r="F9" t="s">
        <v>27</v>
      </c>
    </row>
    <row r="10" spans="1:6" x14ac:dyDescent="0.25">
      <c r="A10" s="18">
        <v>45757</v>
      </c>
      <c r="B10" s="5">
        <v>350</v>
      </c>
      <c r="C10" s="5">
        <v>150</v>
      </c>
      <c r="D10" s="5"/>
      <c r="E10" s="9">
        <f t="shared" si="0"/>
        <v>200</v>
      </c>
    </row>
    <row r="11" spans="1:6" x14ac:dyDescent="0.25">
      <c r="A11" s="18">
        <v>45758</v>
      </c>
      <c r="B11" s="5">
        <v>265</v>
      </c>
      <c r="C11" s="5">
        <v>100</v>
      </c>
      <c r="D11" s="5"/>
      <c r="E11" s="9">
        <f t="shared" si="0"/>
        <v>165</v>
      </c>
    </row>
    <row r="12" spans="1:6" x14ac:dyDescent="0.25">
      <c r="A12" s="18">
        <v>45759</v>
      </c>
      <c r="B12" s="5">
        <v>110</v>
      </c>
      <c r="C12" s="5">
        <v>50</v>
      </c>
      <c r="D12" s="5"/>
      <c r="E12" s="9">
        <f t="shared" si="0"/>
        <v>60</v>
      </c>
    </row>
    <row r="13" spans="1:6" x14ac:dyDescent="0.25">
      <c r="A13" s="18">
        <v>45761</v>
      </c>
      <c r="B13" s="5">
        <v>330</v>
      </c>
      <c r="C13" s="5">
        <v>100</v>
      </c>
      <c r="D13" s="5">
        <v>97</v>
      </c>
      <c r="E13" s="9">
        <f t="shared" si="0"/>
        <v>133</v>
      </c>
      <c r="F13" t="s">
        <v>28</v>
      </c>
    </row>
    <row r="14" spans="1:6" x14ac:dyDescent="0.25">
      <c r="A14" s="18">
        <v>45762</v>
      </c>
      <c r="B14" s="5">
        <v>310</v>
      </c>
      <c r="C14" s="5">
        <v>94</v>
      </c>
      <c r="D14" s="5"/>
      <c r="E14" s="9">
        <f t="shared" si="0"/>
        <v>216</v>
      </c>
    </row>
    <row r="15" spans="1:6" x14ac:dyDescent="0.25">
      <c r="A15" s="18">
        <v>45763</v>
      </c>
      <c r="B15" s="16">
        <v>270</v>
      </c>
      <c r="C15" s="16">
        <v>90</v>
      </c>
      <c r="D15" s="16"/>
      <c r="E15" s="9">
        <f t="shared" si="0"/>
        <v>180</v>
      </c>
    </row>
    <row r="16" spans="1:6" x14ac:dyDescent="0.25">
      <c r="A16" s="18">
        <v>45764</v>
      </c>
      <c r="B16" s="5">
        <v>120</v>
      </c>
      <c r="C16" s="5">
        <v>70</v>
      </c>
      <c r="D16" s="5"/>
      <c r="E16" s="9">
        <f t="shared" si="0"/>
        <v>50</v>
      </c>
    </row>
    <row r="17" spans="1:6" x14ac:dyDescent="0.25">
      <c r="A17" s="19">
        <v>45765</v>
      </c>
      <c r="B17" s="5"/>
      <c r="C17" s="20" t="s">
        <v>22</v>
      </c>
      <c r="D17" s="5"/>
      <c r="E17" s="9">
        <v>0</v>
      </c>
    </row>
    <row r="18" spans="1:6" x14ac:dyDescent="0.25">
      <c r="A18" s="18">
        <v>45766</v>
      </c>
      <c r="B18" s="5">
        <v>100</v>
      </c>
      <c r="C18" s="5"/>
      <c r="D18" s="5"/>
      <c r="E18" s="9">
        <f t="shared" si="0"/>
        <v>100</v>
      </c>
    </row>
    <row r="19" spans="1:6" x14ac:dyDescent="0.25">
      <c r="A19" s="19">
        <v>45768</v>
      </c>
      <c r="B19" s="5"/>
      <c r="C19" s="20" t="s">
        <v>23</v>
      </c>
      <c r="D19" s="5"/>
      <c r="E19" s="26">
        <v>0</v>
      </c>
    </row>
    <row r="20" spans="1:6" x14ac:dyDescent="0.25">
      <c r="A20" s="18">
        <v>45769</v>
      </c>
      <c r="B20" s="5">
        <v>330</v>
      </c>
      <c r="C20" s="5">
        <v>100</v>
      </c>
      <c r="D20" s="5">
        <v>60</v>
      </c>
      <c r="E20" s="9">
        <f t="shared" si="0"/>
        <v>170</v>
      </c>
      <c r="F20" t="s">
        <v>30</v>
      </c>
    </row>
    <row r="21" spans="1:6" x14ac:dyDescent="0.25">
      <c r="A21" s="18">
        <v>45770</v>
      </c>
      <c r="B21" s="5">
        <v>310</v>
      </c>
      <c r="C21" s="5">
        <v>100</v>
      </c>
      <c r="D21" s="5"/>
      <c r="E21" s="9">
        <f t="shared" si="0"/>
        <v>210</v>
      </c>
    </row>
    <row r="22" spans="1:6" x14ac:dyDescent="0.25">
      <c r="A22" s="18">
        <v>45771</v>
      </c>
      <c r="B22" s="5">
        <v>245</v>
      </c>
      <c r="C22" s="5">
        <v>90</v>
      </c>
      <c r="D22" s="5">
        <v>30</v>
      </c>
      <c r="E22" s="9">
        <f t="shared" si="0"/>
        <v>125</v>
      </c>
      <c r="F22" t="s">
        <v>29</v>
      </c>
    </row>
    <row r="23" spans="1:6" x14ac:dyDescent="0.25">
      <c r="A23" s="18">
        <v>45772</v>
      </c>
      <c r="B23" s="5">
        <v>334</v>
      </c>
      <c r="C23" s="5">
        <v>110</v>
      </c>
      <c r="D23" s="5">
        <v>147</v>
      </c>
      <c r="E23" s="9">
        <f t="shared" si="0"/>
        <v>77</v>
      </c>
      <c r="F23" t="s">
        <v>31</v>
      </c>
    </row>
    <row r="24" spans="1:6" x14ac:dyDescent="0.25">
      <c r="A24" s="18">
        <v>45773</v>
      </c>
      <c r="B24" s="5">
        <v>120</v>
      </c>
      <c r="C24" s="5">
        <v>50</v>
      </c>
      <c r="D24" s="5"/>
      <c r="E24" s="9">
        <f t="shared" si="0"/>
        <v>70</v>
      </c>
    </row>
    <row r="25" spans="1:6" x14ac:dyDescent="0.25">
      <c r="A25" s="18">
        <v>45775</v>
      </c>
      <c r="B25" s="5">
        <v>270</v>
      </c>
      <c r="C25" s="5">
        <v>100</v>
      </c>
      <c r="D25" s="5">
        <v>30</v>
      </c>
      <c r="E25" s="9">
        <f t="shared" si="0"/>
        <v>140</v>
      </c>
      <c r="F25" t="s">
        <v>32</v>
      </c>
    </row>
    <row r="26" spans="1:6" x14ac:dyDescent="0.25">
      <c r="A26" s="18">
        <v>45776</v>
      </c>
      <c r="B26" s="5">
        <v>270</v>
      </c>
      <c r="C26" s="5">
        <v>100</v>
      </c>
      <c r="D26" s="5"/>
      <c r="E26" s="9">
        <f t="shared" si="0"/>
        <v>170</v>
      </c>
    </row>
    <row r="27" spans="1:6" x14ac:dyDescent="0.25">
      <c r="A27" s="18">
        <v>45777</v>
      </c>
      <c r="B27" s="16"/>
      <c r="C27" s="16"/>
      <c r="D27" s="16"/>
      <c r="E27" s="9">
        <f t="shared" si="0"/>
        <v>0</v>
      </c>
    </row>
    <row r="28" spans="1:6" x14ac:dyDescent="0.25">
      <c r="A28" s="18"/>
      <c r="B28" s="5"/>
      <c r="C28" s="5"/>
      <c r="D28" s="5"/>
      <c r="E28" s="9">
        <f t="shared" si="0"/>
        <v>0</v>
      </c>
    </row>
    <row r="29" spans="1:6" x14ac:dyDescent="0.25">
      <c r="A29" s="4" t="s">
        <v>3</v>
      </c>
      <c r="B29" s="6">
        <f>SUM(B2:B28)</f>
        <v>6709</v>
      </c>
      <c r="C29" s="6">
        <f>SUM(C2:C28)</f>
        <v>2264</v>
      </c>
      <c r="D29" s="6">
        <f>SUM(D2:D28)</f>
        <v>1171</v>
      </c>
      <c r="E29" s="25">
        <f>SUM(E2:E28)</f>
        <v>3164</v>
      </c>
    </row>
    <row r="30" spans="1:6" x14ac:dyDescent="0.25">
      <c r="B30" s="2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Janeiro</vt:lpstr>
      <vt:lpstr>Fevereiro</vt:lpstr>
      <vt:lpstr>Março</vt:lpstr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Carvalho</dc:creator>
  <cp:lastModifiedBy>Genilda Maria da Silva Nascimento</cp:lastModifiedBy>
  <cp:lastPrinted>2025-04-01T21:13:46Z</cp:lastPrinted>
  <dcterms:created xsi:type="dcterms:W3CDTF">2025-01-18T20:13:27Z</dcterms:created>
  <dcterms:modified xsi:type="dcterms:W3CDTF">2025-04-29T21:51:40Z</dcterms:modified>
</cp:coreProperties>
</file>